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נחות יסוד" sheetId="1" state="visible" r:id="rId1"/>
    <sheet xmlns:r="http://schemas.openxmlformats.org/officeDocument/2006/relationships" name="מודל 1 — חד פעמי" sheetId="2" state="visible" r:id="rId2"/>
    <sheet xmlns:r="http://schemas.openxmlformats.org/officeDocument/2006/relationships" name="מודל 2 — מנוי" sheetId="3" state="visible" r:id="rId3"/>
    <sheet xmlns:r="http://schemas.openxmlformats.org/officeDocument/2006/relationships" name="השווא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₪&quot;;[Red]-#,##0&quot; ₪&quot;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right" vertical="center" readingOrder="2"/>
    </xf>
    <xf numFmtId="164" fontId="3" fillId="4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center" vertical="center" readingOrder="2"/>
    </xf>
    <xf numFmtId="165" fontId="3" fillId="4" borderId="1" applyAlignment="1" pivotButton="0" quotePrefix="0" xfId="0">
      <alignment horizontal="center" vertical="center" readingOrder="2"/>
    </xf>
    <xf numFmtId="2" fontId="3" fillId="0" borderId="1" applyAlignment="1" pivotButton="0" quotePrefix="0" xfId="0">
      <alignment horizontal="center" vertical="center" readingOrder="2"/>
    </xf>
    <xf numFmtId="164" fontId="3" fillId="0" borderId="1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right" vertical="center" readingOrder="2"/>
    </xf>
    <xf numFmtId="164" fontId="4" fillId="5" borderId="1" applyAlignment="1" pivotButton="0" quotePrefix="0" xfId="0">
      <alignment horizontal="center" vertical="center" readingOrder="2"/>
    </xf>
    <xf numFmtId="164" fontId="3" fillId="6" borderId="1" applyAlignment="1" pivotButton="0" quotePrefix="0" xfId="0">
      <alignment horizontal="center" vertical="center" readingOrder="2"/>
    </xf>
    <xf numFmtId="3" fontId="3" fillId="4" borderId="1" applyAlignment="1" pivotButton="0" quotePrefix="0" xfId="0">
      <alignment horizontal="center" vertical="center" readingOrder="2"/>
    </xf>
    <xf numFmtId="3" fontId="3" fillId="0" borderId="1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readingOrder="2"/>
    </xf>
    <xf numFmtId="0" fontId="3" fillId="7" borderId="1" applyAlignment="1" pivotButton="0" quotePrefix="0" xfId="0">
      <alignment horizontal="center" vertical="center" readingOrder="2"/>
    </xf>
    <xf numFmtId="3" fontId="3" fillId="7" borderId="1" applyAlignment="1" pivotButton="0" quotePrefix="0" xfId="0">
      <alignment horizontal="center" vertical="center" readingOrder="2"/>
    </xf>
    <xf numFmtId="164" fontId="3" fillId="7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3" fontId="4" fillId="5" borderId="1" applyAlignment="1" pivotButton="0" quotePrefix="0" xfId="0">
      <alignment horizontal="center" vertical="center" readingOrder="2"/>
    </xf>
    <xf numFmtId="0" fontId="3" fillId="6" borderId="1" applyAlignment="1" pivotButton="0" quotePrefix="0" xfId="0">
      <alignment horizontal="right" vertical="center" readingOrder="2"/>
    </xf>
    <xf numFmtId="0" fontId="3" fillId="8" borderId="1" applyAlignment="1" pivotButton="0" quotePrefix="0" xfId="0">
      <alignment horizontal="center" vertical="center" readingOrder="2"/>
    </xf>
    <xf numFmtId="3" fontId="3" fillId="8" borderId="1" applyAlignment="1" pivotButton="0" quotePrefix="0" xfId="0">
      <alignment horizontal="center" vertical="center" readingOrder="2"/>
    </xf>
    <xf numFmtId="164" fontId="3" fillId="8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</cols>
  <sheetData>
    <row r="1" ht="28" customHeight="1">
      <c r="A1" s="1" t="inlineStr">
        <is>
          <t>הנחות יסוד — מודל פיננסי פרפקט וואן</t>
        </is>
      </c>
    </row>
    <row r="2">
      <c r="A2" s="2" t="inlineStr">
        <is>
          <t>שיווק והמרה</t>
        </is>
      </c>
    </row>
    <row r="3">
      <c r="A3" s="3" t="inlineStr">
        <is>
          <t>עלות ליד</t>
        </is>
      </c>
      <c r="B3" s="4" t="n">
        <v>60</v>
      </c>
      <c r="C3" s="5" t="inlineStr">
        <is>
          <t>נתון קלט</t>
        </is>
      </c>
    </row>
    <row r="4">
      <c r="A4" s="3" t="inlineStr">
        <is>
          <t>יחס המרה</t>
        </is>
      </c>
      <c r="B4" s="6" t="n">
        <v>0.12</v>
      </c>
      <c r="C4" s="5" t="inlineStr">
        <is>
          <t>נתון קלט</t>
        </is>
      </c>
    </row>
    <row r="5">
      <c r="A5" s="3" t="inlineStr">
        <is>
          <t>לידים לסגירה</t>
        </is>
      </c>
      <c r="B5" s="7">
        <f>1/B4</f>
        <v/>
      </c>
      <c r="C5" s="5" t="inlineStr">
        <is>
          <t>חישוב</t>
        </is>
      </c>
    </row>
    <row r="6">
      <c r="A6" s="3" t="inlineStr">
        <is>
          <t>עלות שיווק לעסקה</t>
        </is>
      </c>
      <c r="B6" s="8">
        <f>B3*B5</f>
        <v/>
      </c>
      <c r="C6" s="5" t="inlineStr">
        <is>
          <t>חישוב</t>
        </is>
      </c>
    </row>
    <row r="8">
      <c r="A8" s="2" t="inlineStr">
        <is>
          <t>הכנסות לעסקה</t>
        </is>
      </c>
    </row>
    <row r="9">
      <c r="A9" s="3" t="inlineStr">
        <is>
          <t>פתיחת תיק (חד פעמי)</t>
        </is>
      </c>
      <c r="B9" s="4" t="n">
        <v>100</v>
      </c>
      <c r="C9" s="5" t="inlineStr">
        <is>
          <t>נתון קלט</t>
        </is>
      </c>
    </row>
    <row r="10">
      <c r="A10" s="3" t="inlineStr">
        <is>
          <t>שירות שנתי</t>
        </is>
      </c>
      <c r="B10" s="4" t="n">
        <v>1800</v>
      </c>
      <c r="C10" s="5" t="inlineStr">
        <is>
          <t>נתון קלט</t>
        </is>
      </c>
    </row>
    <row r="11">
      <c r="A11" s="9" t="inlineStr">
        <is>
          <t>סה״כ הכנסה לעסקה שנה 1</t>
        </is>
      </c>
      <c r="B11" s="10">
        <f>B9+B10</f>
        <v/>
      </c>
      <c r="C11" s="5" t="inlineStr">
        <is>
          <t>סיכום</t>
        </is>
      </c>
    </row>
    <row r="13">
      <c r="A13" s="2" t="inlineStr">
        <is>
          <t>הוצאות לעסקה</t>
        </is>
      </c>
    </row>
    <row r="14">
      <c r="A14" s="3" t="inlineStr">
        <is>
          <t>עמלת נציג מכירות</t>
        </is>
      </c>
      <c r="B14" s="4" t="n">
        <v>350</v>
      </c>
      <c r="C14" s="5" t="inlineStr">
        <is>
          <t>נתון קלט</t>
        </is>
      </c>
    </row>
    <row r="15">
      <c r="A15" s="3" t="inlineStr">
        <is>
          <t>סליקה</t>
        </is>
      </c>
      <c r="B15" s="4" t="n">
        <v>150</v>
      </c>
      <c r="C15" s="5" t="inlineStr">
        <is>
          <t>נתון קלט</t>
        </is>
      </c>
    </row>
    <row r="16">
      <c r="A16" s="3" t="inlineStr">
        <is>
          <t>אפליקציה (חודשי)</t>
        </is>
      </c>
      <c r="B16" s="4" t="n">
        <v>10</v>
      </c>
      <c r="C16" s="5" t="inlineStr">
        <is>
          <t>נתון קלט</t>
        </is>
      </c>
    </row>
    <row r="17">
      <c r="A17" s="3" t="inlineStr">
        <is>
          <t>הנהלת חשבונות (חודשי)</t>
        </is>
      </c>
      <c r="B17" s="4" t="n">
        <v>25</v>
      </c>
      <c r="C17" s="5" t="inlineStr">
        <is>
          <t>נתון קלט</t>
        </is>
      </c>
    </row>
    <row r="18">
      <c r="A18" s="3" t="inlineStr">
        <is>
          <t>תפעול/ליווי שוטף לתיק (חודשי) — מנוי בלבד</t>
        </is>
      </c>
      <c r="B18" s="11" t="n">
        <v>25</v>
      </c>
      <c r="C18" s="5" t="inlineStr">
        <is>
          <t>נתון חדש</t>
        </is>
      </c>
    </row>
    <row r="19">
      <c r="A19" s="9" t="inlineStr">
        <is>
          <t>עלות מנוי שנתית (אפליקציה + הנה״ח + ליווי)</t>
        </is>
      </c>
      <c r="B19" s="10">
        <f>(B16+B17+B18)*12</f>
        <v/>
      </c>
      <c r="C19" s="5" t="inlineStr">
        <is>
          <t>סיכום</t>
        </is>
      </c>
    </row>
    <row r="22">
      <c r="A22" s="2" t="inlineStr">
        <is>
          <t>פעילות</t>
        </is>
      </c>
    </row>
    <row r="23">
      <c r="A23" s="3" t="inlineStr">
        <is>
          <t>לקוחות חדשים בחודש</t>
        </is>
      </c>
      <c r="B23" s="12" t="n">
        <v>20</v>
      </c>
      <c r="C23" s="5" t="inlineStr">
        <is>
          <t>נתון קלט</t>
        </is>
      </c>
    </row>
    <row r="24">
      <c r="A24" s="3" t="inlineStr">
        <is>
          <t>לקוחות חדשים בשנה</t>
        </is>
      </c>
      <c r="B24" s="13">
        <f>B23*12</f>
        <v/>
      </c>
      <c r="C24" s="5" t="inlineStr">
        <is>
          <t>חישוב</t>
        </is>
      </c>
    </row>
  </sheetData>
  <mergeCells count="5">
    <mergeCell ref="A13:C13"/>
    <mergeCell ref="A1:C1"/>
    <mergeCell ref="A8:C8"/>
    <mergeCell ref="A22:C2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מודל 1 — מכירה חד פעמית (ללא מנוי)</t>
        </is>
      </c>
    </row>
    <row r="3">
      <c r="A3" s="2" t="inlineStr">
        <is>
          <t>פירוט לעסקה בודדת</t>
        </is>
      </c>
    </row>
    <row r="4">
      <c r="A4" s="3" t="inlineStr">
        <is>
          <t>הכנסה (פתיחת תיק + שירות שנתי)</t>
        </is>
      </c>
      <c r="B4" s="8">
        <f>'הנחות יסוד'!B11</f>
        <v/>
      </c>
    </row>
    <row r="5">
      <c r="A5" s="3" t="inlineStr">
        <is>
          <t>עלות שיווק</t>
        </is>
      </c>
      <c r="B5" s="8">
        <f>'הנחות יסוד'!B6</f>
        <v/>
      </c>
    </row>
    <row r="6">
      <c r="A6" s="3" t="inlineStr">
        <is>
          <t>עמלת נציג</t>
        </is>
      </c>
      <c r="B6" s="8">
        <f>'הנחות יסוד'!B14</f>
        <v/>
      </c>
    </row>
    <row r="7">
      <c r="A7" s="3" t="inlineStr">
        <is>
          <t>סליקה</t>
        </is>
      </c>
      <c r="B7" s="8">
        <f>'הנחות יסוד'!B15</f>
        <v/>
      </c>
    </row>
    <row r="8">
      <c r="A8" s="9" t="inlineStr">
        <is>
          <t>סה״כ הוצאה לעסקה</t>
        </is>
      </c>
      <c r="B8" s="10">
        <f>B5+B6+B7</f>
        <v/>
      </c>
    </row>
    <row r="9">
      <c r="A9" s="9" t="inlineStr">
        <is>
          <t>רווח לעסקה</t>
        </is>
      </c>
      <c r="B9" s="10">
        <f>B4-B8</f>
        <v/>
      </c>
    </row>
    <row r="13">
      <c r="A13" s="2" t="inlineStr">
        <is>
          <t>תחזית 3 שנים (240 לקוחות חדשים בשנה)</t>
        </is>
      </c>
    </row>
    <row r="14">
      <c r="A14" s="14" t="inlineStr">
        <is>
          <t>שנה</t>
        </is>
      </c>
      <c r="B14" s="14" t="inlineStr">
        <is>
          <t>לקוחות חדשים</t>
        </is>
      </c>
      <c r="C14" s="14" t="inlineStr">
        <is>
          <t>הכנסות</t>
        </is>
      </c>
      <c r="D14" s="14" t="inlineStr">
        <is>
          <t>הוצאות</t>
        </is>
      </c>
      <c r="E14" s="14" t="inlineStr">
        <is>
          <t>רווח</t>
        </is>
      </c>
    </row>
    <row r="15">
      <c r="A15" s="15" t="inlineStr">
        <is>
          <t>שנה 1</t>
        </is>
      </c>
      <c r="B15" s="16">
        <f>'הנחות יסוד'!B24</f>
        <v/>
      </c>
      <c r="C15" s="17">
        <f>B15*'הנחות יסוד'!B11</f>
        <v/>
      </c>
      <c r="D15" s="17">
        <f>B15*(B5+B6+B7)</f>
        <v/>
      </c>
      <c r="E15" s="17">
        <f>C15-D15</f>
        <v/>
      </c>
    </row>
    <row r="16">
      <c r="A16" s="15" t="inlineStr">
        <is>
          <t>שנה 2</t>
        </is>
      </c>
      <c r="B16" s="16">
        <f>'הנחות יסוד'!B24</f>
        <v/>
      </c>
      <c r="C16" s="17">
        <f>B16*'הנחות יסוד'!B11</f>
        <v/>
      </c>
      <c r="D16" s="17">
        <f>B16*(B5+B6+B7)</f>
        <v/>
      </c>
      <c r="E16" s="17">
        <f>C16-D16</f>
        <v/>
      </c>
    </row>
    <row r="17">
      <c r="A17" s="15" t="inlineStr">
        <is>
          <t>שנה 3</t>
        </is>
      </c>
      <c r="B17" s="16">
        <f>'הנחות יסוד'!B24</f>
        <v/>
      </c>
      <c r="C17" s="17">
        <f>B17*'הנחות יסוד'!B11</f>
        <v/>
      </c>
      <c r="D17" s="17">
        <f>B17*(B5+B6+B7)</f>
        <v/>
      </c>
      <c r="E17" s="17">
        <f>C17-D17</f>
        <v/>
      </c>
    </row>
    <row r="18">
      <c r="A18" s="18" t="inlineStr">
        <is>
          <t>סה״כ 3 שנים</t>
        </is>
      </c>
      <c r="B18" s="19">
        <f>SUM(B15:B17)</f>
        <v/>
      </c>
      <c r="C18" s="10">
        <f>SUM(C15:C17)</f>
        <v/>
      </c>
      <c r="D18" s="10">
        <f>SUM(D15:D17)</f>
        <v/>
      </c>
      <c r="E18" s="10">
        <f>SUM(E15:E17)</f>
        <v/>
      </c>
    </row>
    <row r="20">
      <c r="A20" s="9" t="inlineStr">
        <is>
          <t>רווח חודשי ממוצע שנה 1</t>
        </is>
      </c>
      <c r="B20" s="10">
        <f>E15/12</f>
        <v/>
      </c>
    </row>
    <row r="21">
      <c r="A21" s="9" t="inlineStr">
        <is>
          <t>הערה</t>
        </is>
      </c>
      <c r="B21" s="3" t="inlineStr">
        <is>
          <t>במודל חד פעמי אין הכנסה חוזרת — כל שנה מתחילה מ-0 לקוחות</t>
        </is>
      </c>
    </row>
  </sheetData>
  <mergeCells count="4">
    <mergeCell ref="B21:E21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מודל 2 — מנוי חודשי (אפליקציה + הנה״ח)</t>
        </is>
      </c>
    </row>
    <row r="3">
      <c r="A3" s="2" t="inlineStr">
        <is>
          <t>פירוט לעסקה בודדת — שנה 1</t>
        </is>
      </c>
    </row>
    <row r="4">
      <c r="A4" s="3" t="inlineStr">
        <is>
          <t>הכנסה שנה 1 (פתיחה + שירות)</t>
        </is>
      </c>
      <c r="B4" s="8">
        <f>'הנחות יסוד'!B11</f>
        <v/>
      </c>
    </row>
    <row r="5">
      <c r="A5" s="3" t="inlineStr">
        <is>
          <t>עלות שיווק</t>
        </is>
      </c>
      <c r="B5" s="8">
        <f>'הנחות יסוד'!B6</f>
        <v/>
      </c>
    </row>
    <row r="6">
      <c r="A6" s="3" t="inlineStr">
        <is>
          <t>עמלת נציג</t>
        </is>
      </c>
      <c r="B6" s="8">
        <f>'הנחות יסוד'!B14</f>
        <v/>
      </c>
    </row>
    <row r="7">
      <c r="A7" s="3" t="inlineStr">
        <is>
          <t>סליקה</t>
        </is>
      </c>
      <c r="B7" s="8">
        <f>'הנחות יסוד'!B15</f>
        <v/>
      </c>
    </row>
    <row r="8">
      <c r="A8" s="20" t="inlineStr">
        <is>
          <t>עלות מנוי שנתית (אפליקציה + הנה״ח + ליווי)</t>
        </is>
      </c>
      <c r="B8" s="11">
        <f>'הנחות יסוד'!B19</f>
        <v/>
      </c>
    </row>
    <row r="9">
      <c r="A9" s="9" t="inlineStr">
        <is>
          <t>סה״כ הוצאה שנה 1</t>
        </is>
      </c>
      <c r="B9" s="10">
        <f>B5+B6+B7+B8</f>
        <v/>
      </c>
    </row>
    <row r="10">
      <c r="A10" s="9" t="inlineStr">
        <is>
          <t>רווח שנה 1 לעסקה</t>
        </is>
      </c>
      <c r="B10" s="10">
        <f>B4-B9</f>
        <v/>
      </c>
    </row>
    <row r="13">
      <c r="A13" s="2" t="inlineStr">
        <is>
          <t>פירוט לעסקה בודדת — שנה 2 ואילך (ללא שיווק וללא עמלת נציג)</t>
        </is>
      </c>
    </row>
    <row r="14">
      <c r="A14" s="3" t="inlineStr">
        <is>
          <t>הכנסה שנתית (שירות בלבד)</t>
        </is>
      </c>
      <c r="B14" s="8">
        <f>'הנחות יסוד'!B10</f>
        <v/>
      </c>
    </row>
    <row r="15">
      <c r="A15" s="20" t="inlineStr">
        <is>
          <t>עלות מנוי שנתית (אפליקציה + הנה״ח + ליווי)</t>
        </is>
      </c>
      <c r="B15" s="11">
        <f>'הנחות יסוד'!B19</f>
        <v/>
      </c>
    </row>
    <row r="16">
      <c r="A16" s="9" t="inlineStr">
        <is>
          <t>רווח שנתי ללקוח — שנה 2+</t>
        </is>
      </c>
      <c r="B16" s="10">
        <f>B14-B15</f>
        <v/>
      </c>
    </row>
    <row r="20">
      <c r="A20" s="2" t="inlineStr">
        <is>
          <t>תחזית 3 שנים — בסיס לקוחות מצטבר</t>
        </is>
      </c>
    </row>
    <row r="21">
      <c r="A21" s="14" t="inlineStr">
        <is>
          <t>שנה</t>
        </is>
      </c>
      <c r="B21" s="14" t="inlineStr">
        <is>
          <t>לקוחות חדשים</t>
        </is>
      </c>
      <c r="C21" s="14" t="inlineStr">
        <is>
          <t>בסיס לקוחות (מתחדשים)</t>
        </is>
      </c>
      <c r="D21" s="14" t="inlineStr">
        <is>
          <t>הכנסות</t>
        </is>
      </c>
      <c r="E21" s="14" t="inlineStr">
        <is>
          <t>הוצאות</t>
        </is>
      </c>
      <c r="F21" s="14" t="inlineStr">
        <is>
          <t>רווח</t>
        </is>
      </c>
    </row>
    <row r="22">
      <c r="A22" s="21" t="inlineStr">
        <is>
          <t>שנה 1</t>
        </is>
      </c>
      <c r="B22" s="22">
        <f>'הנחות יסוד'!B24</f>
        <v/>
      </c>
      <c r="C22" s="22">
        <f>'הנחות יסוד'!B24*0</f>
        <v/>
      </c>
      <c r="D22" s="23">
        <f>B22*'הנחות יסוד'!B11 + C22*'הנחות יסוד'!B10</f>
        <v/>
      </c>
      <c r="E22" s="23">
        <f>B22*(B5+B6+B7+B8) + C22*B8</f>
        <v/>
      </c>
      <c r="F22" s="23">
        <f>D22-E22</f>
        <v/>
      </c>
    </row>
    <row r="23">
      <c r="A23" s="21" t="inlineStr">
        <is>
          <t>שנה 2</t>
        </is>
      </c>
      <c r="B23" s="22">
        <f>'הנחות יסוד'!B24</f>
        <v/>
      </c>
      <c r="C23" s="22">
        <f>'הנחות יסוד'!B24*1</f>
        <v/>
      </c>
      <c r="D23" s="23">
        <f>B23*'הנחות יסוד'!B11 + C23*'הנחות יסוד'!B10</f>
        <v/>
      </c>
      <c r="E23" s="23">
        <f>B23*(B5+B6+B7+B8) + C23*B8</f>
        <v/>
      </c>
      <c r="F23" s="23">
        <f>D23-E23</f>
        <v/>
      </c>
    </row>
    <row r="24">
      <c r="A24" s="21" t="inlineStr">
        <is>
          <t>שנה 3</t>
        </is>
      </c>
      <c r="B24" s="22">
        <f>'הנחות יסוד'!B24</f>
        <v/>
      </c>
      <c r="C24" s="22">
        <f>'הנחות יסוד'!B24*2</f>
        <v/>
      </c>
      <c r="D24" s="23">
        <f>B24*'הנחות יסוד'!B11 + C24*'הנחות יסוד'!B10</f>
        <v/>
      </c>
      <c r="E24" s="23">
        <f>B24*(B5+B6+B7+B8) + C24*B8</f>
        <v/>
      </c>
      <c r="F24" s="23">
        <f>D24-E24</f>
        <v/>
      </c>
    </row>
    <row r="25">
      <c r="A25" s="18" t="inlineStr">
        <is>
          <t>סה״כ 3 שנים</t>
        </is>
      </c>
      <c r="B25" s="19">
        <f>SUM(B22:B24)</f>
        <v/>
      </c>
      <c r="C25" s="19">
        <f>SUM(C22:C24)</f>
        <v/>
      </c>
      <c r="D25" s="10">
        <f>SUM(D22:D24)</f>
        <v/>
      </c>
      <c r="E25" s="10">
        <f>SUM(E22:E24)</f>
        <v/>
      </c>
      <c r="F25" s="10">
        <f>SUM(F22:F24)</f>
        <v/>
      </c>
    </row>
    <row r="27">
      <c r="A27" s="9" t="inlineStr">
        <is>
          <t>רווח חודשי ממוצע שנה 1</t>
        </is>
      </c>
      <c r="B27" s="10">
        <f>F22/12</f>
        <v/>
      </c>
    </row>
    <row r="28">
      <c r="A28" s="9" t="inlineStr">
        <is>
          <t>תובנה</t>
        </is>
      </c>
      <c r="B28" s="3" t="inlineStr">
        <is>
          <t>שנה 2 מזנקת — הבסיס המצטבר (240 לקוחות מתחדשים) מייצר רווח ללא עלויות גיוס</t>
        </is>
      </c>
    </row>
  </sheetData>
  <mergeCells count="5">
    <mergeCell ref="A13:F13"/>
    <mergeCell ref="A1:F1"/>
    <mergeCell ref="B28:F28"/>
    <mergeCell ref="A3:F3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20" customWidth="1" min="4" max="4"/>
  </cols>
  <sheetData>
    <row r="1" ht="28" customHeight="1">
      <c r="A1" s="1" t="inlineStr">
        <is>
          <t>השוואה — חד פעמי מול מנוי (כולל תפעול ₪25/חודש)</t>
        </is>
      </c>
    </row>
    <row r="3">
      <c r="A3" s="14" t="inlineStr">
        <is>
          <t>מדד</t>
        </is>
      </c>
      <c r="B3" s="14" t="inlineStr">
        <is>
          <t>מודל חד פעמי</t>
        </is>
      </c>
      <c r="C3" s="14" t="inlineStr">
        <is>
          <t>מודל מנוי</t>
        </is>
      </c>
      <c r="D3" s="14" t="inlineStr">
        <is>
          <t>הפרש</t>
        </is>
      </c>
    </row>
    <row r="4">
      <c r="A4" s="9" t="inlineStr">
        <is>
          <t>רווח לעסקה שנה 1</t>
        </is>
      </c>
      <c r="B4" s="17">
        <f>'מודל 1 — חד פעמי'!B9</f>
        <v/>
      </c>
      <c r="C4" s="23">
        <f>'מודל 2 — מנוי'!B10</f>
        <v/>
      </c>
      <c r="D4" s="8">
        <f>C4-B4</f>
        <v/>
      </c>
    </row>
    <row r="5">
      <c r="A5" s="9" t="inlineStr">
        <is>
          <t>רווח שנה 1 (240 לקוחות)</t>
        </is>
      </c>
      <c r="B5" s="17">
        <f>'מודל 1 — חד פעמי'!E15</f>
        <v/>
      </c>
      <c r="C5" s="23">
        <f>'מודל 2 — מנוי'!F22</f>
        <v/>
      </c>
      <c r="D5" s="8">
        <f>C5-B5</f>
        <v/>
      </c>
    </row>
    <row r="6">
      <c r="A6" s="9" t="inlineStr">
        <is>
          <t>רווח שנה 2</t>
        </is>
      </c>
      <c r="B6" s="17">
        <f>'מודל 1 — חד פעמי'!E16</f>
        <v/>
      </c>
      <c r="C6" s="23">
        <f>'מודל 2 — מנוי'!F23</f>
        <v/>
      </c>
      <c r="D6" s="8">
        <f>C6-B6</f>
        <v/>
      </c>
    </row>
    <row r="7">
      <c r="A7" s="9" t="inlineStr">
        <is>
          <t>רווח שנה 3</t>
        </is>
      </c>
      <c r="B7" s="17">
        <f>'מודל 1 — חד פעמי'!E17</f>
        <v/>
      </c>
      <c r="C7" s="23">
        <f>'מודל 2 — מנוי'!F24</f>
        <v/>
      </c>
      <c r="D7" s="8">
        <f>C7-B7</f>
        <v/>
      </c>
    </row>
    <row r="8">
      <c r="A8" s="9" t="inlineStr">
        <is>
          <t>סה״כ 3 שנים</t>
        </is>
      </c>
      <c r="B8" s="17">
        <f>'מודל 1 — חד פעמי'!E18</f>
        <v/>
      </c>
      <c r="C8" s="23">
        <f>'מודל 2 — מנוי'!F25</f>
        <v/>
      </c>
      <c r="D8" s="8">
        <f>C8-B8</f>
        <v/>
      </c>
    </row>
    <row r="9">
      <c r="A9" s="9" t="inlineStr">
        <is>
          <t>רווח חודשי ממוצע שנה 1</t>
        </is>
      </c>
      <c r="B9" s="17">
        <f>'מודל 1 — חד פעמי'!B20</f>
        <v/>
      </c>
      <c r="C9" s="23">
        <f>'מודל 2 — מנוי'!B27</f>
        <v/>
      </c>
      <c r="D9" s="8">
        <f>C9-B9</f>
        <v/>
      </c>
    </row>
    <row r="10">
      <c r="A10" s="9" t="inlineStr">
        <is>
          <t>רווח שנתי ללקוח משנה 2</t>
        </is>
      </c>
      <c r="B10" s="17" t="inlineStr">
        <is>
          <t>0</t>
        </is>
      </c>
      <c r="C10" s="23">
        <f>'מודל 2 — מנוי'!B16</f>
        <v/>
      </c>
      <c r="D10" s="8">
        <f>C10-B10</f>
        <v/>
      </c>
    </row>
    <row r="12">
      <c r="A12" s="2" t="inlineStr">
        <is>
          <t>הערות על המבנה</t>
        </is>
      </c>
    </row>
    <row r="13">
      <c r="A13" s="3" t="inlineStr">
        <is>
          <t>מודל חד פעמי: הוצאות לעסקה = שיווק ₪500 + עמלת נציג ₪350 + סליקה ₪150 (בלי תפעול)</t>
        </is>
      </c>
    </row>
    <row r="14">
      <c r="A14" s="3" t="inlineStr">
        <is>
          <t>מודל מנוי: מעבר להוצאות המכירה, יש עלות מנוי שנתית של (₪10 אפליקציה + ₪25 הנה״ח + ₪25 ליווי) × 12 = ₪720</t>
        </is>
      </c>
    </row>
    <row r="15">
      <c r="A15" s="3" t="inlineStr">
        <is>
          <t>עלות המנוי חלה גם בשנה הראשונה וגם על כל לקוח מתחדש בשנים הבאות</t>
        </is>
      </c>
    </row>
    <row r="16">
      <c r="A16" s="3" t="inlineStr">
        <is>
          <t>במודל המנוי אין שיווק ואין עמלת נציג על לקוחות מתחדשים — ההוצאה היחידה היא ₪720 לשנה</t>
        </is>
      </c>
    </row>
    <row r="17">
      <c r="A17" s="3" t="inlineStr">
        <is>
          <t>נקודת השיוויון המצטבר: במהלך שנה 2, כשהבסיס המצטבר מתחיל לייצר הכנסה 'נקייה'</t>
        </is>
      </c>
    </row>
  </sheetData>
  <mergeCells count="7">
    <mergeCell ref="A1:D1"/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2026-04-21T07:23:03Z</dcterms:created>
  <dcterms:modified xmlns:dcterms="http://purl.org/dc/terms/" xmlns:xsi="http://www.w3.org/2001/XMLSchema-instance" xsi:type="dcterms:W3CDTF">2026-04-21T07:23:03Z</dcterms:modified>
</cp:coreProperties>
</file>